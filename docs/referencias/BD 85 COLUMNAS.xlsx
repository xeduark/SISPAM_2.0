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-0422\Desktop\ANALISTA COSTOS\"/>
    </mc:Choice>
  </mc:AlternateContent>
  <xr:revisionPtr revIDLastSave="0" documentId="13_ncr:1_{AA95D117-CB03-456C-A803-0589C2ED7468}" xr6:coauthVersionLast="47" xr6:coauthVersionMax="47" xr10:uidLastSave="{00000000-0000-0000-0000-000000000000}"/>
  <bookViews>
    <workbookView xWindow="-108" yWindow="-108" windowWidth="23256" windowHeight="12456" xr2:uid="{8BA2A087-BBFB-470E-AC2C-ADDF3B1C8502}"/>
  </bookViews>
  <sheets>
    <sheet name="Hoja1" sheetId="1" r:id="rId1"/>
    <sheet name="Hoja7" sheetId="7" r:id="rId2"/>
  </sheets>
  <definedNames>
    <definedName name="_xlnm._FilterDatabase" localSheetId="0" hidden="1">Hoja1!$A$1:$CN$11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" i="1" l="1"/>
  <c r="BF5" i="1"/>
  <c r="BF6" i="1"/>
  <c r="BF7" i="1"/>
  <c r="BF8" i="1"/>
  <c r="BF9" i="1"/>
  <c r="BF10" i="1"/>
  <c r="BF11" i="1"/>
  <c r="B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tc={42B9B553-A683-4CF5-805C-53A6253EE504}</author>
    <author>Catalina Restrepo Cardona</author>
  </authors>
  <commentList>
    <comment ref="I1" authorId="0" shapeId="0" xr:uid="{42B9B553-A683-4CF5-805C-53A6253EE5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Discriminado por regimen</t>
      </text>
    </comment>
    <comment ref="K1" authorId="1" shapeId="0" xr:uid="{25B63A82-2228-4478-BB9B-940A809084BD}">
      <text>
        <r>
          <rPr>
            <b/>
            <sz val="9"/>
            <color indexed="81"/>
            <rFont val="Tahoma"/>
            <family val="2"/>
          </rPr>
          <t xml:space="preserve">Punto de dispensación o colocar Servicio Farmacéutico
</t>
        </r>
      </text>
    </comment>
    <comment ref="Y1" authorId="1" shapeId="0" xr:uid="{D357CFF9-2ED5-4107-AB85-1622B948ACB0}">
      <text>
        <r>
          <rPr>
            <b/>
            <sz val="9"/>
            <color indexed="81"/>
            <rFont val="Tahoma"/>
            <family val="2"/>
          </rPr>
          <t>AAAA-MM-DD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1" authorId="1" shapeId="0" xr:uid="{531CE99A-BBE7-4BDB-91AA-AE4394BE7E9A}">
      <text>
        <r>
          <rPr>
            <b/>
            <sz val="9"/>
            <color indexed="81"/>
            <rFont val="Tahoma"/>
            <family val="2"/>
          </rPr>
          <t>Número de dispensación interno / Número mipres</t>
        </r>
      </text>
    </comment>
    <comment ref="AG1" authorId="1" shapeId="0" xr:uid="{992A8705-A2A0-4DCE-AA94-788981821610}">
      <text>
        <r>
          <rPr>
            <b/>
            <sz val="9"/>
            <color indexed="81"/>
            <rFont val="Tahoma"/>
            <family val="2"/>
          </rPr>
          <t>SI  /  NO</t>
        </r>
      </text>
    </comment>
    <comment ref="AH1" authorId="1" shapeId="0" xr:uid="{F45E19A4-3028-4458-9D77-F2BB6AFD1229}">
      <text>
        <r>
          <rPr>
            <b/>
            <sz val="9"/>
            <color indexed="81"/>
            <rFont val="Tahoma"/>
            <family val="2"/>
          </rPr>
          <t>AAAA-MM-DD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" authorId="1" shapeId="0" xr:uid="{2C77F462-0E15-4564-A927-3ED8D9215172}">
      <text>
        <r>
          <rPr>
            <b/>
            <sz val="9"/>
            <color indexed="81"/>
            <rFont val="Tahoma"/>
            <family val="2"/>
          </rPr>
          <t xml:space="preserve">Total del tratamiento en días
</t>
        </r>
      </text>
    </comment>
    <comment ref="AJ1" authorId="1" shapeId="0" xr:uid="{27581674-695C-44E5-9CA8-5E3BAFA1B40F}">
      <text>
        <r>
          <rPr>
            <b/>
            <sz val="9"/>
            <color indexed="81"/>
            <rFont val="Tahoma"/>
            <family val="2"/>
          </rPr>
          <t>Por mes</t>
        </r>
      </text>
    </comment>
    <comment ref="AN1" authorId="1" shapeId="0" xr:uid="{4CED345C-F607-43F2-BAB1-283AD04C9F7F}">
      <text>
        <r>
          <rPr>
            <b/>
            <sz val="9"/>
            <color indexed="81"/>
            <rFont val="Tahoma"/>
            <family val="2"/>
          </rPr>
          <t>Hospitalario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1" authorId="1" shapeId="0" xr:uid="{565E6FD2-5D44-42F5-8736-ABE296F7B6D8}">
      <text>
        <r>
          <rPr>
            <b/>
            <sz val="9"/>
            <color indexed="81"/>
            <rFont val="Tahoma"/>
            <family val="2"/>
          </rPr>
          <t xml:space="preserve">Mipres, fórmulación
</t>
        </r>
      </text>
    </comment>
    <comment ref="BA1" authorId="1" shapeId="0" xr:uid="{46ACDEBB-1A8D-437D-A10A-E0649A003DEB}">
      <text>
        <r>
          <rPr>
            <b/>
            <sz val="9"/>
            <color indexed="81"/>
            <rFont val="Tahoma"/>
            <family val="2"/>
          </rPr>
          <t>Código producto interno</t>
        </r>
      </text>
    </comment>
    <comment ref="BB1" authorId="1" shapeId="0" xr:uid="{DF5C417D-A54D-49FC-9E92-558034FDF3EC}">
      <text>
        <r>
          <rPr>
            <b/>
            <sz val="9"/>
            <color indexed="81"/>
            <rFont val="Tahoma"/>
            <family val="2"/>
          </rPr>
          <t>Medicamento: nombre, concentración y forma farmacéutica - presentación comercial</t>
        </r>
      </text>
    </comment>
    <comment ref="BD1" authorId="1" shapeId="0" xr:uid="{F415DF30-0BE0-4279-BFC1-3A1975649B56}">
      <text>
        <r>
          <rPr>
            <b/>
            <sz val="9"/>
            <color indexed="81"/>
            <rFont val="Tahoma"/>
            <family val="2"/>
          </rPr>
          <t>copiar cantidad entregada</t>
        </r>
      </text>
    </comment>
    <comment ref="BG1" authorId="1" shapeId="0" xr:uid="{47101254-7728-493D-AC9C-EF9DCFE06024}">
      <text>
        <r>
          <rPr>
            <b/>
            <sz val="9"/>
            <color indexed="81"/>
            <rFont val="Tahoma"/>
            <family val="2"/>
          </rPr>
          <t xml:space="preserve">nombre de quien dispensa
</t>
        </r>
      </text>
    </comment>
    <comment ref="BJ1" authorId="1" shapeId="0" xr:uid="{6FA8FE1A-24CB-42EB-9303-3BA45F817498}">
      <text>
        <r>
          <rPr>
            <sz val="9"/>
            <color indexed="81"/>
            <rFont val="Tahoma"/>
            <family val="2"/>
          </rPr>
          <t xml:space="preserve">PBS  /  NO PBS
</t>
        </r>
      </text>
    </comment>
    <comment ref="BL1" authorId="1" shapeId="0" xr:uid="{60679EC3-5B86-459D-AC86-42A935665520}">
      <text>
        <r>
          <rPr>
            <b/>
            <sz val="9"/>
            <color indexed="81"/>
            <rFont val="Tahoma"/>
            <family val="2"/>
          </rPr>
          <t>parametrización interna</t>
        </r>
      </text>
    </comment>
    <comment ref="BS1" authorId="1" shapeId="0" xr:uid="{EB582AA8-83DA-4B94-A8A2-C64B81CE60A5}">
      <text>
        <r>
          <rPr>
            <b/>
            <sz val="9"/>
            <color indexed="81"/>
            <rFont val="Tahoma"/>
            <family val="2"/>
          </rPr>
          <t>registro médico o cédula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G1" authorId="1" shapeId="0" xr:uid="{646753A6-6A77-4459-AA73-96C2DA4AEADB}">
      <text>
        <r>
          <rPr>
            <sz val="9"/>
            <color indexed="81"/>
            <rFont val="Tahoma"/>
            <family val="2"/>
          </rPr>
          <t xml:space="preserve">Domicilio, presencial, sin entrega
</t>
        </r>
      </text>
    </comment>
  </commentList>
</comments>
</file>

<file path=xl/sharedStrings.xml><?xml version="1.0" encoding="utf-8"?>
<sst xmlns="http://schemas.openxmlformats.org/spreadsheetml/2006/main" count="497" uniqueCount="272">
  <si>
    <t>AÑO</t>
  </si>
  <si>
    <t>MES</t>
  </si>
  <si>
    <t>OPERADOR</t>
  </si>
  <si>
    <t>NIT CLIENTE PAGADOR</t>
  </si>
  <si>
    <t>NOMBRE CLIENTE PAGADOR</t>
  </si>
  <si>
    <t>DETALLE CLIENTE PAGADOR</t>
  </si>
  <si>
    <t>NOMBRE DETALLE CLIENTE PAGADOR</t>
  </si>
  <si>
    <t>NIT CLIENTE ASEGURADOR</t>
  </si>
  <si>
    <t>NOMBRE CLIENTE ASEGURADOR</t>
  </si>
  <si>
    <t>CODIGO PUNTO VENTA</t>
  </si>
  <si>
    <t>PUNTO VENTA</t>
  </si>
  <si>
    <t>CODIGO BODEGA</t>
  </si>
  <si>
    <t>BODEGA</t>
  </si>
  <si>
    <t>TIPO DOCUMENTO PACIENTE</t>
  </si>
  <si>
    <t>DOCUMENTO PACIENTE</t>
  </si>
  <si>
    <t>NOMBRE PACIENTE</t>
  </si>
  <si>
    <t>PRIMER NOMBRE PACIENTE</t>
  </si>
  <si>
    <t>SEGUNDO NOMBRE PACIENTE</t>
  </si>
  <si>
    <t>PRIMER APELLIDO PACIENTE</t>
  </si>
  <si>
    <t>SEGUNDO APELLIDO PACIENTE</t>
  </si>
  <si>
    <t>DIRECCION PACIENTE</t>
  </si>
  <si>
    <t>TELEFONO PACIENTE</t>
  </si>
  <si>
    <t>SEXO PACIENTE</t>
  </si>
  <si>
    <t>EDAD PACIENTE</t>
  </si>
  <si>
    <t>FECHA NACIMIENTO</t>
  </si>
  <si>
    <t>REGIMEN</t>
  </si>
  <si>
    <t>CODIGO MUNICIPIO</t>
  </si>
  <si>
    <t>NOMBRE MUNICIPIO</t>
  </si>
  <si>
    <t>NOMBRE SUBREGION</t>
  </si>
  <si>
    <t>NUMERO FORMULA</t>
  </si>
  <si>
    <t>CONSECUTIVO FORMULA</t>
  </si>
  <si>
    <t>TIPO FORMULA</t>
  </si>
  <si>
    <t>TUTELA</t>
  </si>
  <si>
    <t>FECHA FORMULA</t>
  </si>
  <si>
    <t>DURACION TRATAMIENTO</t>
  </si>
  <si>
    <t>CANTIDAD SOLICITADA</t>
  </si>
  <si>
    <t>CANTIDAD ENTREGADA</t>
  </si>
  <si>
    <t>CANTIDAD PENDIENTE</t>
  </si>
  <si>
    <t>CANTIDAD FALTANTE</t>
  </si>
  <si>
    <t>FECHA SALIDA O REMISION</t>
  </si>
  <si>
    <t>CODIGO INTERNO REMISION</t>
  </si>
  <si>
    <t>CODIGO REMISION</t>
  </si>
  <si>
    <t>NUMERO REMISION</t>
  </si>
  <si>
    <t>DESCRIPCION SALIDA O REMISION</t>
  </si>
  <si>
    <t>USUARIO SALIDA O REMISION</t>
  </si>
  <si>
    <t>CONSECUTIVO ENTREGA</t>
  </si>
  <si>
    <t>CIUDAD ENTREGA</t>
  </si>
  <si>
    <t>NUMERO NUA</t>
  </si>
  <si>
    <t>TIPO AUTORIZACION</t>
  </si>
  <si>
    <t>DESCRIPCION CONTRATO</t>
  </si>
  <si>
    <t>CODIGO PRODUCTO FALTANTE</t>
  </si>
  <si>
    <t>NOMBRE PRODUCTO FALTANTE</t>
  </si>
  <si>
    <t>CODIGO PRODUCTO</t>
  </si>
  <si>
    <t>DESCRIPCION MEDICAMENTOS DISPENSADOS</t>
  </si>
  <si>
    <t>NOMB+BB1801+BC:BG+BC:BL</t>
  </si>
  <si>
    <t>UNIDADES DISPENSADAS</t>
  </si>
  <si>
    <t>VALOR UNITARIO MEDICAMENTOS DISPENSADOS</t>
  </si>
  <si>
    <t>VALOR TOTAL MEDICAMENTOS DISPENSADOS</t>
  </si>
  <si>
    <t>USUARIO DISPENSA</t>
  </si>
  <si>
    <t>FECHA DISPENSACION</t>
  </si>
  <si>
    <t>HORA DISPENSACION</t>
  </si>
  <si>
    <t>CONDICION MEDICAMENTO</t>
  </si>
  <si>
    <t>DESCRIPCION PRINCIPIO ACTIVO</t>
  </si>
  <si>
    <t>CODIGO TIPO PRODUCTO</t>
  </si>
  <si>
    <t>CODIGO CUM</t>
  </si>
  <si>
    <t>CODIGO ATC</t>
  </si>
  <si>
    <t>CODIGO DCI</t>
  </si>
  <si>
    <t>REGISTRO INVIMA</t>
  </si>
  <si>
    <t>CODIGO IPS FORMULANTE</t>
  </si>
  <si>
    <t>DESCRIPCION IPS FORMULANTE</t>
  </si>
  <si>
    <t>CODIGO MEDICO</t>
  </si>
  <si>
    <t>NOMBRE MEDICO</t>
  </si>
  <si>
    <t>ESPECIALIDAD MEDICO</t>
  </si>
  <si>
    <t>CODIGO CIE10</t>
  </si>
  <si>
    <t>DESCRIPCION CIE10</t>
  </si>
  <si>
    <t>DESCRIPCION GRUPO CIE10</t>
  </si>
  <si>
    <t>GRUPO ATC</t>
  </si>
  <si>
    <t>SUBGRUPO ATC</t>
  </si>
  <si>
    <t>PROCESO</t>
  </si>
  <si>
    <t>TIPO ENTREGA</t>
  </si>
  <si>
    <t>FECHA FALTANTE</t>
  </si>
  <si>
    <t>MES - AÑO FALTANTE</t>
  </si>
  <si>
    <t>FECHA ENTREGA FALTANTE</t>
  </si>
  <si>
    <t>HORAS ENTREGA FALTANTE</t>
  </si>
  <si>
    <t>FORMA ENTREGA</t>
  </si>
  <si>
    <t>DIAGNOSTICO DE ALTO COSTO</t>
  </si>
  <si>
    <t>Formato 4 digitos
AAAA</t>
  </si>
  <si>
    <t>Usar los nombres de la lista desplegable</t>
  </si>
  <si>
    <t>Si no se tiene dato, dejar el campo vacio.</t>
  </si>
  <si>
    <t>SAVIA SALUD EPS</t>
  </si>
  <si>
    <t>Si no se tiene dato, dejar el campo vacio.
o
Pueden colocar el punto de venta del SF</t>
  </si>
  <si>
    <t>Si no se tiene dato, dejar el campo vacio.
o
Pueden colocar la bodega del operador</t>
  </si>
  <si>
    <t>AS
CC
CD
CE
CN
MS
NU
OT
PA
PE
PPT
RC
SC
TI</t>
  </si>
  <si>
    <t>Formato numerico</t>
  </si>
  <si>
    <t>Formato texto
(MAYUSCULA, SIN TILDES)</t>
  </si>
  <si>
    <t>Direccion del paciente o vivienda actual</t>
  </si>
  <si>
    <t>F o M</t>
  </si>
  <si>
    <t>Formato fecha:
AAAA-MM-DD</t>
  </si>
  <si>
    <t>SUBSIDIADO
o
CONTRIBUTIVO</t>
  </si>
  <si>
    <t>Usar maestra adjunta (ma_municipios)</t>
  </si>
  <si>
    <t xml:space="preserve">
Formato texto
(MAYUSCULA, SIN TILDES)
(ma_municipios)</t>
  </si>
  <si>
    <t>Formato texto, usar maestra: (ma_Municipios)
MEDELLIN
OCCIDENTE
SUROESTE
URABA
NORTE
BAJO CAUCA
NORDESTE
MAGDALENA MEDIO
ORIENTE
VALLE DE ABURRA</t>
  </si>
  <si>
    <t>Formato numerico:
Puede ser numero interno de dispensacion
o
Numero Mipres (20 digitos)</t>
  </si>
  <si>
    <t>Si no se tiene dato, dejar el campo vacio.
Solo aplica para mipres</t>
  </si>
  <si>
    <t>Formato texto:
FORMULA
o
MIPRES</t>
  </si>
  <si>
    <t xml:space="preserve"> </t>
  </si>
  <si>
    <t>Formato numerico en dias.
Total dias de tratamiento,  ejemplo ordenaron Losartan 50mg/c12h, para 3 meses , se coloca = 90</t>
  </si>
  <si>
    <t>Formato numerico, total ordenado para el tratamiento completo, para seguir con el ejemplo anterior, se coloca = 180</t>
  </si>
  <si>
    <t>Formato numerico, total dosis ordenada en el mes en curso a ser dispensado, para seguir con el ejemplo anterior, supongamos se entrega todo, se coloca = 60</t>
  </si>
  <si>
    <t>Formato numerico, total dosis que falta para entregar toda la totalidad del tratamiento, para seguir con el ejemplo anterior, se coloca = 120</t>
  </si>
  <si>
    <t>Formato numerico, de la cantidad que haya quedado faltante en el tratamiento mes, segun ejemplo anterior que se entrego completo en el mes, se coloca = 0</t>
  </si>
  <si>
    <t xml:space="preserve">Formato: AAAA/MM/DD
Si no se tiene dato, dejar el campo vacio. </t>
  </si>
  <si>
    <t>Si no se tiene dato, dejar el campo vacio.
o
FORMULACION
MIPRES
CONEXIONES</t>
  </si>
  <si>
    <t>Formato texto:
PBS
NO PBS
Ningun otro dato</t>
  </si>
  <si>
    <t>Formato texto: Codigo interno de la tecnologia en salud o Si no se tiene dato, dejar el campo vacio.</t>
  </si>
  <si>
    <t>Formato texto: para medicamentos:
Principio activo en DCI + concentracion + unidad de medida + forma farmaceutica + presentacion comercial si aplica
Para insumo, servicios complementarios: Nombre + presentacion comercial (si aplica se debe especificar la talla). EVITAR CARACTERES ESPECIALES</t>
  </si>
  <si>
    <t>Formato numerico = es igual a la cantidad entregada, en la columna "AJ"</t>
  </si>
  <si>
    <t>Formato moneda $ del valor de la unidad minima, ejemplo si es un medicamento que viene en caja x 50 unidades, se coloca el valor de la unidad y no de la presentacion comercial.
Valor  unitario del contrato</t>
  </si>
  <si>
    <t>Formato moneda $: es el producto de la multiplicacion de las columnas "BC" y "BD"</t>
  </si>
  <si>
    <t>Formato texto: nombre del auxiliar de farmacia que realiza la dispensacion</t>
  </si>
  <si>
    <t>Formato hora militar HH:MM 24H</t>
  </si>
  <si>
    <t>Formato numerico = Se coloca para medicamentos el CUM = expediente mas el consecutivo (sin el cero), ejemplo: 20079038-2
Si es un VND colocar el codigo IUM
Si es un insumo, nutricion, servicio complementario colocar el codigo propio de la EPS o Si no se tiene dato, dejar el campo vacio.</t>
  </si>
  <si>
    <t>Formato alfa numerico, colocar ATC</t>
  </si>
  <si>
    <t>Formato alfa numerico, colocar codigo DCI</t>
  </si>
  <si>
    <t>Formato alfa numerico, colocar registro INVIMA</t>
  </si>
  <si>
    <t>Formato numerico = es el NIT de la IPS que formulo</t>
  </si>
  <si>
    <t>Formato texto = es el Nombre de la IPS que formulo</t>
  </si>
  <si>
    <t>Formato numerico = numero del registro medico o cedula de quien formula</t>
  </si>
  <si>
    <t>Formato texto = es el Nombre del medico que formulo</t>
  </si>
  <si>
    <t xml:space="preserve">Formato texto =  ejemplo:
Medicina general
Medicina interna
Endocrinologia
</t>
  </si>
  <si>
    <t>Formato alfa numerico, colocar codigo CIE10</t>
  </si>
  <si>
    <t xml:space="preserve">Formato texto =  Descripcion del diagnostico CIE10
</t>
  </si>
  <si>
    <t xml:space="preserve">Formato texto = ejemplo:
* ENTREGA NORMAL
* ENTREGA FALTANTE
* FALTANTE SIN ENTREGAR
</t>
  </si>
  <si>
    <t>Formato fecha, en que se entrego el faltante del mes:
AAAA-MM-DD
Si no se tiene dato, dejar el campo vacio.</t>
  </si>
  <si>
    <t>Formato horario militar que se entrego el faltante 24h HH:MM
Si no se tiene dato, dejar el campo vacio.</t>
  </si>
  <si>
    <t xml:space="preserve">Formato texto = ejemplo:
* ENTREGA EN EL SERVICIO
* ENTREGADO A DOMICILIO
* SIN ENTREGAR
</t>
  </si>
  <si>
    <t>Formato texto:
SI
o
NO</t>
  </si>
  <si>
    <r>
      <t>Formato numerico del mes, ejemplo para el mes de marzo se coloca =</t>
    </r>
    <r>
      <rPr>
        <b/>
        <sz val="11"/>
        <color rgb="FFFF0000"/>
        <rFont val="Aptos Narrow"/>
        <family val="2"/>
        <scheme val="minor"/>
      </rPr>
      <t xml:space="preserve"> 3</t>
    </r>
  </si>
  <si>
    <r>
      <t xml:space="preserve">Nit de Savia = 
</t>
    </r>
    <r>
      <rPr>
        <b/>
        <sz val="11"/>
        <rFont val="Aptos Narrow"/>
        <family val="2"/>
        <scheme val="minor"/>
      </rPr>
      <t>900604350</t>
    </r>
  </si>
  <si>
    <r>
      <t xml:space="preserve">Colocar = </t>
    </r>
    <r>
      <rPr>
        <b/>
        <sz val="11"/>
        <rFont val="Aptos Narrow"/>
        <family val="2"/>
        <scheme val="minor"/>
      </rPr>
      <t>ALIANZA MEDELLIN ANTIOQUIA EPS S.A.S</t>
    </r>
  </si>
  <si>
    <t>ALIANZA MEDELLIN ANTIOQUIA EPS S.A.S</t>
  </si>
  <si>
    <t>COMITE DE ESTUDIOS MEDICOS</t>
  </si>
  <si>
    <t>CC</t>
  </si>
  <si>
    <t>Nombre</t>
  </si>
  <si>
    <t>SIN</t>
  </si>
  <si>
    <t>TILDES)</t>
  </si>
  <si>
    <t>DIAZ</t>
  </si>
  <si>
    <t>ANA</t>
  </si>
  <si>
    <t>RITA</t>
  </si>
  <si>
    <t>HOYOS</t>
  </si>
  <si>
    <t>DURANGO</t>
  </si>
  <si>
    <t>VIRGELINA</t>
  </si>
  <si>
    <t>MARIN</t>
  </si>
  <si>
    <t>MORELIA</t>
  </si>
  <si>
    <t>CARABALI</t>
  </si>
  <si>
    <t>LICERMO</t>
  </si>
  <si>
    <t>ARION</t>
  </si>
  <si>
    <t>DE PENAGOS</t>
  </si>
  <si>
    <t>DE OSPINA</t>
  </si>
  <si>
    <t>ANA RITA DIAZ DE PENAGOS</t>
  </si>
  <si>
    <t>VIRGELINA  HOYOS DURANGO</t>
  </si>
  <si>
    <t>MORELIA  MARIN DE OSPINA</t>
  </si>
  <si>
    <t>LICERMO ARION CARABALI CARABALI</t>
  </si>
  <si>
    <t>ALGINATO DE SODIO 5% + BICARBONATO 2.13% + CARBONATO DE CALCIO 3.25% SUSPENSION ORAL EN SACHETS (INS)</t>
  </si>
  <si>
    <t>METFORMINA HCL 1000 MG + DAPAGLIFLOZINA 10 MG TABLETA DE LIB PROLONGADA (INS)</t>
  </si>
  <si>
    <t>RIVAROXABAN 20 MG TABLETA RECUBIERTA (INS)</t>
  </si>
  <si>
    <t>ALGINATO 2.5 % + BICARBONATO 2.67 % + CARBONATO DE CALCIO 1.5 % SUSPENSION ORAL  FRASCO X 360 ML (INS)</t>
  </si>
  <si>
    <t>AMLODIPINO 10 MG + VALSARTAN 160 MG TABLETA (REG) (INS)</t>
  </si>
  <si>
    <t>CARBONATO DE CALCIO 600 MG + VITAMINA D3 400 UI TABLETAS (INS)</t>
  </si>
  <si>
    <t>ALENDRONATO SODICO 70 MG TABLETA (INS)</t>
  </si>
  <si>
    <t>SITAGLIPTINA 25 MG TABLETAS (INS)</t>
  </si>
  <si>
    <t>EMPAGLIFLOZINA 12.5 MG + METFORMINA 1000 MG TABLETAS (INS)</t>
  </si>
  <si>
    <t>M</t>
  </si>
  <si>
    <t>F</t>
  </si>
  <si>
    <t>CL 48 # 72-35</t>
  </si>
  <si>
    <t>300 555 0101</t>
  </si>
  <si>
    <t>CALLE 30AC # 89C- 25 BELEN LAS VIOLETAS</t>
  </si>
  <si>
    <t>CL 112 68A 38</t>
  </si>
  <si>
    <t>CL 57 A NORTE 19 83 INT101</t>
  </si>
  <si>
    <t>3016177302 - 3014374364 - 3132187955</t>
  </si>
  <si>
    <t>SUBSIDIADO</t>
  </si>
  <si>
    <t>MEDELLIN</t>
  </si>
  <si>
    <t>AREA METROPOLITANA</t>
  </si>
  <si>
    <t>20103613-23</t>
  </si>
  <si>
    <t>A02BX13</t>
  </si>
  <si>
    <t>A02BX</t>
  </si>
  <si>
    <t>2016M-0017169</t>
  </si>
  <si>
    <t>20093349-1</t>
  </si>
  <si>
    <t>A10BD15</t>
  </si>
  <si>
    <t>A10BD</t>
  </si>
  <si>
    <t>2015M-0016615</t>
  </si>
  <si>
    <t>20158642-2</t>
  </si>
  <si>
    <t>B01AF01</t>
  </si>
  <si>
    <t>B01AF</t>
  </si>
  <si>
    <t>2020M-0019566</t>
  </si>
  <si>
    <t>24380-7</t>
  </si>
  <si>
    <t>A02AB10</t>
  </si>
  <si>
    <t>A02AB</t>
  </si>
  <si>
    <t>2019M-006932-R2</t>
  </si>
  <si>
    <t>19977792-3</t>
  </si>
  <si>
    <t>C09DB01</t>
  </si>
  <si>
    <t>C09DB</t>
  </si>
  <si>
    <t>2020M-0007061-R1</t>
  </si>
  <si>
    <t>20011348-2</t>
  </si>
  <si>
    <t>A12AA20</t>
  </si>
  <si>
    <t>A12AA</t>
  </si>
  <si>
    <t>2021M-0013771-R1</t>
  </si>
  <si>
    <t>19930610-2</t>
  </si>
  <si>
    <t>M05BA04</t>
  </si>
  <si>
    <t>M05BA</t>
  </si>
  <si>
    <t>2022M-0001729-R2</t>
  </si>
  <si>
    <t>19975067-2</t>
  </si>
  <si>
    <t>A10BH01</t>
  </si>
  <si>
    <t>A10BH</t>
  </si>
  <si>
    <t>2020M-0007031-R1</t>
  </si>
  <si>
    <t>20101182-6</t>
  </si>
  <si>
    <t>A10BD20</t>
  </si>
  <si>
    <t>2016M-0017418</t>
  </si>
  <si>
    <t>FORMULACION</t>
  </si>
  <si>
    <t xml:space="preserve"> MANUEL DE JESUS BELTRAN RIVERA</t>
  </si>
  <si>
    <t>MEDICIANA INTERNA</t>
  </si>
  <si>
    <t>SANTIAGO JAVIER MARIN VALENCIA</t>
  </si>
  <si>
    <t>NATALIA ESPINOSA MENDOZA</t>
  </si>
  <si>
    <t>NEUROLOGIA</t>
  </si>
  <si>
    <t xml:space="preserve"> ANGELA MARCELA SANCHEZ ROCHA</t>
  </si>
  <si>
    <t xml:space="preserve">NEFROLOGIA </t>
  </si>
  <si>
    <t>SANTIAGO MORENO GARCIA</t>
  </si>
  <si>
    <t>NEUROCIRUGIA</t>
  </si>
  <si>
    <t>MEDICINA INTERNA</t>
  </si>
  <si>
    <t>JUAN CAMILO</t>
  </si>
  <si>
    <t>G442</t>
  </si>
  <si>
    <t>F329</t>
  </si>
  <si>
    <t>J309</t>
  </si>
  <si>
    <t>K30</t>
  </si>
  <si>
    <t>E531</t>
  </si>
  <si>
    <t>I10</t>
  </si>
  <si>
    <t>E119</t>
  </si>
  <si>
    <t>E538</t>
  </si>
  <si>
    <t>G629</t>
  </si>
  <si>
    <t>A09</t>
  </si>
  <si>
    <t>N2581</t>
  </si>
  <si>
    <t>F319</t>
  </si>
  <si>
    <t>I639</t>
  </si>
  <si>
    <t>CEFALEA TENSIONAL</t>
  </si>
  <si>
    <t>EPISODIO DEPRESIVO, NO ESPECIFICADO</t>
  </si>
  <si>
    <t>RINITIS ALÉRGICA, NO ESPECIFICADA</t>
  </si>
  <si>
    <t>DISPEPSIA FUNCIONAL</t>
  </si>
  <si>
    <t>DEFICIENCIA DE PIRIDOXINA</t>
  </si>
  <si>
    <t>HIPERTENSIÓN ESENCIAL</t>
  </si>
  <si>
    <t>DEFICIENCIA DE OTRAS VITAMINAS DEL GRUPO B</t>
  </si>
  <si>
    <t>POLINEUROPATÍA, NO ESPECIFICADA</t>
  </si>
  <si>
    <t>GASTROENTERITIS Y COLITIS INFECCIOSA</t>
  </si>
  <si>
    <t>HIPERPARATIROIDISMO SECUNDARIO DE ORIGEN RENAL</t>
  </si>
  <si>
    <t>TRASTORNO BIPOLAR, NO ESPECIFICADO</t>
  </si>
  <si>
    <t>EPISODIO DEPRESIVO, NO ESPECIFICADO</t>
  </si>
  <si>
    <t>ENTREGA NORMAL</t>
  </si>
  <si>
    <t>ENTREGA EN EL SERVICIO</t>
  </si>
  <si>
    <t>DIABETES MELLITUS NO INSULINODEPENDIENTE, SIN MENCION DE COMPLICACION</t>
  </si>
  <si>
    <t>DIABETES</t>
  </si>
  <si>
    <t>INFARTO CEREBRAL, NO ESPECIFICADO</t>
  </si>
  <si>
    <t>INFARTO CEREBRAL</t>
  </si>
  <si>
    <t>NO</t>
  </si>
  <si>
    <t>SI</t>
  </si>
  <si>
    <t>Formato</t>
  </si>
  <si>
    <t>MOTIVO FALTANTE</t>
  </si>
  <si>
    <t>DEMORA DEL PROVEEDOR</t>
  </si>
  <si>
    <t>KAREN DAYANA ALEGRIA ALBORNOZ</t>
  </si>
  <si>
    <t>ANDRES RICARDO FERNANDEZ ALDANA</t>
  </si>
  <si>
    <t>KEREN MARIA MONSALVE BERRIO</t>
  </si>
  <si>
    <t>CABALLERO GAVIRIA LUIS FELIPE</t>
  </si>
  <si>
    <t>LONDOÑO VELEZ DEISY YULIET</t>
  </si>
  <si>
    <t>YENI ASTRID SANCHEZ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</si>
</sst>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yyyy/mm/dd"/>
    <numFmt numFmtId="165" formatCode="_-&quot;$&quot;\ * #,##0_-;\-&quot;$&quot;\ * #,##0_-;_-&quot;$&quot;\ * &quot;-&quot;??_-;_-@_-"/>
    <numFmt numFmtId="166" formatCode="yyyy\-mm\-dd;@"/>
    <numFmt numFmtId="167" formatCode="&quot;$&quot;\ 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Segoe U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4" borderId="1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6" fontId="0" fillId="0" borderId="0" xfId="0" applyNumberFormat="1"/>
    <xf numFmtId="0" fontId="9" fillId="0" borderId="0" xfId="0" applyFont="1" applyAlignment="1">
      <alignment vertical="center" wrapText="1"/>
    </xf>
    <xf numFmtId="167" fontId="0" fillId="0" borderId="0" xfId="0" applyNumberFormat="1"/>
  </cellXfs>
  <cellStyles count="11">
    <cellStyle name="Moneda" xfId="1" builtinId="4"/>
    <cellStyle name="Moneda [0] 2" xfId="5" xr:uid="{873F9462-B86D-4EF9-965A-F9258A0ED6DA}"/>
    <cellStyle name="Moneda 2" xfId="4" xr:uid="{B3C300B7-50D0-4019-900F-A07EFFE0CEFA}"/>
    <cellStyle name="Moneda 3" xfId="6" xr:uid="{C65BECB0-6492-4DD7-A84E-C70D07770FA8}"/>
    <cellStyle name="Moneda 4" xfId="7" xr:uid="{9397471E-5975-407D-9354-8A9C30B9760C}"/>
    <cellStyle name="Moneda 5" xfId="8" xr:uid="{2EDAD70E-AF4C-4501-B6A5-4D98A63E8FED}"/>
    <cellStyle name="Moneda 6" xfId="9" xr:uid="{F7F33522-706F-4434-8A7C-34099E22E1E8}"/>
    <cellStyle name="Moneda 7" xfId="2" xr:uid="{B6671D3B-B8BE-4B2F-8B19-21A6EE9CB29C}"/>
    <cellStyle name="Moneda 8" xfId="10" xr:uid="{F49F6082-3C89-4CAC-8E9F-0F3BAE1B7A9C}"/>
    <cellStyle name="Normal" xfId="0" builtinId="0"/>
    <cellStyle name="Normal 2" xfId="3" xr:uid="{3ED26F11-112A-4F46-8A4D-7C5B19CDD7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uebas" id="{C5912449-328B-4C06-9349-C01B34062BA6}" userId="S::pruebas@saviasaviasaludeps4.onmicrosoft.com::1d7f06d0-3706-44fc-bd09-0c9bb98eaf1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05-29T20:51:07.20" personId="{C5912449-328B-4C06-9349-C01B34062BA6}" id="{42B9B553-A683-4CF5-805C-53A6253EE504}">
    <text>Discriminado por regimen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27E1-33BF-44FE-A000-74CF14924CEC}">
  <dimension ref="A1:CI11"/>
  <sheetViews>
    <sheetView tabSelected="1" topLeftCell="AC1" zoomScale="86" zoomScaleNormal="86" workbookViewId="0">
      <selection activeCell="AC1" sqref="A1:XFD1"/>
    </sheetView>
  </sheetViews>
  <sheetFormatPr baseColWidth="10" defaultRowHeight="14.4" x14ac:dyDescent="0.3"/>
  <cols>
    <col min="3" max="3" width="24" bestFit="1" customWidth="1"/>
    <col min="5" max="5" width="31.77734375" bestFit="1" customWidth="1"/>
    <col min="9" max="9" width="14.33203125" customWidth="1"/>
    <col min="15" max="15" width="22.5546875" customWidth="1"/>
    <col min="16" max="16" width="34.6640625" bestFit="1" customWidth="1"/>
    <col min="17" max="20" width="11.5546875" customWidth="1"/>
    <col min="21" max="21" width="13.109375" customWidth="1"/>
    <col min="22" max="22" width="15" style="25" customWidth="1"/>
    <col min="55" max="55" width="13.109375" customWidth="1"/>
    <col min="68" max="68" width="20.44140625" customWidth="1"/>
    <col min="70" max="70" width="15.21875" customWidth="1"/>
    <col min="80" max="80" width="15.44140625" customWidth="1"/>
    <col min="87" max="87" width="22.88671875" customWidth="1"/>
  </cols>
  <sheetData>
    <row r="1" spans="1:87" s="9" customFormat="1" ht="72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3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4" t="s">
        <v>29</v>
      </c>
      <c r="AE1" s="2" t="s">
        <v>30</v>
      </c>
      <c r="AF1" s="2" t="s">
        <v>31</v>
      </c>
      <c r="AG1" s="1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6" t="s">
        <v>55</v>
      </c>
      <c r="BE1" s="4" t="s">
        <v>56</v>
      </c>
      <c r="BF1" s="8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2" t="s">
        <v>62</v>
      </c>
      <c r="BL1" s="2" t="s">
        <v>63</v>
      </c>
      <c r="BM1" s="1" t="s">
        <v>64</v>
      </c>
      <c r="BN1" s="1" t="s">
        <v>65</v>
      </c>
      <c r="BO1" s="2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1" t="s">
        <v>80</v>
      </c>
      <c r="CD1" s="2" t="s">
        <v>81</v>
      </c>
      <c r="CE1" s="1" t="s">
        <v>82</v>
      </c>
      <c r="CF1" s="1" t="s">
        <v>83</v>
      </c>
      <c r="CG1" s="1" t="s">
        <v>84</v>
      </c>
      <c r="CH1" s="2" t="s">
        <v>85</v>
      </c>
      <c r="CI1" s="2" t="s">
        <v>264</v>
      </c>
    </row>
    <row r="2" spans="1:87" s="20" customFormat="1" ht="48.75" customHeight="1" x14ac:dyDescent="0.3">
      <c r="A2" s="10" t="s">
        <v>86</v>
      </c>
      <c r="B2" s="10" t="s">
        <v>137</v>
      </c>
      <c r="C2" s="10" t="s">
        <v>87</v>
      </c>
      <c r="D2" s="11" t="s">
        <v>138</v>
      </c>
      <c r="E2" s="11" t="s">
        <v>139</v>
      </c>
      <c r="F2" s="11" t="s">
        <v>88</v>
      </c>
      <c r="G2" s="11" t="s">
        <v>88</v>
      </c>
      <c r="H2" s="11" t="s">
        <v>138</v>
      </c>
      <c r="I2" s="12" t="s">
        <v>89</v>
      </c>
      <c r="J2" s="11" t="s">
        <v>88</v>
      </c>
      <c r="K2" s="11" t="s">
        <v>90</v>
      </c>
      <c r="L2" s="11" t="s">
        <v>88</v>
      </c>
      <c r="M2" s="11" t="s">
        <v>91</v>
      </c>
      <c r="N2" s="13" t="s">
        <v>92</v>
      </c>
      <c r="O2" s="10" t="s">
        <v>93</v>
      </c>
      <c r="P2" s="10" t="s">
        <v>143</v>
      </c>
      <c r="Q2" s="11" t="s">
        <v>144</v>
      </c>
      <c r="R2" s="11" t="s">
        <v>145</v>
      </c>
      <c r="S2" s="11" t="s">
        <v>94</v>
      </c>
      <c r="T2" s="11" t="s">
        <v>94</v>
      </c>
      <c r="U2" s="11" t="s">
        <v>95</v>
      </c>
      <c r="V2" s="24" t="s">
        <v>93</v>
      </c>
      <c r="W2" s="11" t="s">
        <v>96</v>
      </c>
      <c r="X2" s="11" t="s">
        <v>93</v>
      </c>
      <c r="Y2" s="14" t="s">
        <v>97</v>
      </c>
      <c r="Z2" s="10" t="s">
        <v>98</v>
      </c>
      <c r="AA2" s="11" t="s">
        <v>99</v>
      </c>
      <c r="AB2" s="11" t="s">
        <v>100</v>
      </c>
      <c r="AC2" s="10" t="s">
        <v>101</v>
      </c>
      <c r="AD2" s="15" t="s">
        <v>102</v>
      </c>
      <c r="AE2" s="11" t="s">
        <v>103</v>
      </c>
      <c r="AF2" s="16" t="s">
        <v>104</v>
      </c>
      <c r="AG2" s="11" t="s">
        <v>105</v>
      </c>
      <c r="AH2" s="10" t="s">
        <v>97</v>
      </c>
      <c r="AI2" s="17" t="s">
        <v>106</v>
      </c>
      <c r="AJ2" s="17" t="s">
        <v>107</v>
      </c>
      <c r="AK2" s="17" t="s">
        <v>108</v>
      </c>
      <c r="AL2" s="17" t="s">
        <v>109</v>
      </c>
      <c r="AM2" s="17" t="s">
        <v>110</v>
      </c>
      <c r="AN2" s="11" t="s">
        <v>111</v>
      </c>
      <c r="AO2" s="11" t="s">
        <v>88</v>
      </c>
      <c r="AP2" s="11" t="s">
        <v>88</v>
      </c>
      <c r="AQ2" s="11" t="s">
        <v>88</v>
      </c>
      <c r="AR2" s="11" t="s">
        <v>88</v>
      </c>
      <c r="AS2" s="11" t="s">
        <v>88</v>
      </c>
      <c r="AT2" s="11" t="s">
        <v>88</v>
      </c>
      <c r="AU2" s="11" t="s">
        <v>100</v>
      </c>
      <c r="AV2" s="11" t="s">
        <v>88</v>
      </c>
      <c r="AW2" s="16" t="s">
        <v>112</v>
      </c>
      <c r="AX2" s="11" t="s">
        <v>113</v>
      </c>
      <c r="AY2" s="11" t="s">
        <v>114</v>
      </c>
      <c r="AZ2" s="11" t="s">
        <v>88</v>
      </c>
      <c r="BA2" s="11" t="s">
        <v>88</v>
      </c>
      <c r="BB2" s="10" t="s">
        <v>115</v>
      </c>
      <c r="BC2" s="11" t="s">
        <v>88</v>
      </c>
      <c r="BD2" s="17" t="s">
        <v>116</v>
      </c>
      <c r="BE2" s="17" t="s">
        <v>117</v>
      </c>
      <c r="BF2" s="18" t="s">
        <v>118</v>
      </c>
      <c r="BG2" s="19" t="s">
        <v>119</v>
      </c>
      <c r="BH2" s="10" t="s">
        <v>97</v>
      </c>
      <c r="BI2" s="19" t="s">
        <v>120</v>
      </c>
      <c r="BJ2" s="11" t="s">
        <v>88</v>
      </c>
      <c r="BK2" s="11" t="s">
        <v>88</v>
      </c>
      <c r="BL2" s="11" t="s">
        <v>88</v>
      </c>
      <c r="BM2" s="16" t="s">
        <v>121</v>
      </c>
      <c r="BN2" s="11" t="s">
        <v>122</v>
      </c>
      <c r="BO2" s="11" t="s">
        <v>123</v>
      </c>
      <c r="BP2" s="16" t="s">
        <v>124</v>
      </c>
      <c r="BQ2" s="16" t="s">
        <v>125</v>
      </c>
      <c r="BR2" s="10" t="s">
        <v>126</v>
      </c>
      <c r="BS2" s="16" t="s">
        <v>127</v>
      </c>
      <c r="BT2" s="10" t="s">
        <v>128</v>
      </c>
      <c r="BU2" s="10" t="s">
        <v>129</v>
      </c>
      <c r="BV2" s="10" t="s">
        <v>130</v>
      </c>
      <c r="BW2" s="10" t="s">
        <v>131</v>
      </c>
      <c r="BX2" s="11" t="s">
        <v>88</v>
      </c>
      <c r="BY2" s="11" t="s">
        <v>88</v>
      </c>
      <c r="BZ2" s="11" t="s">
        <v>88</v>
      </c>
      <c r="CA2" s="11" t="s">
        <v>88</v>
      </c>
      <c r="CB2" s="10" t="s">
        <v>132</v>
      </c>
      <c r="CC2" s="10" t="s">
        <v>133</v>
      </c>
      <c r="CD2" s="11" t="s">
        <v>88</v>
      </c>
      <c r="CE2" s="10" t="s">
        <v>133</v>
      </c>
      <c r="CF2" s="16" t="s">
        <v>134</v>
      </c>
      <c r="CG2" s="10" t="s">
        <v>135</v>
      </c>
      <c r="CH2" s="10" t="s">
        <v>136</v>
      </c>
      <c r="CI2" s="10" t="s">
        <v>263</v>
      </c>
    </row>
    <row r="3" spans="1:87" x14ac:dyDescent="0.3">
      <c r="A3" s="21">
        <v>2026</v>
      </c>
      <c r="B3" s="21">
        <v>9</v>
      </c>
      <c r="C3" t="s">
        <v>141</v>
      </c>
      <c r="D3">
        <v>900604350</v>
      </c>
      <c r="E3" t="s">
        <v>140</v>
      </c>
      <c r="H3">
        <v>900604350</v>
      </c>
      <c r="I3" t="s">
        <v>89</v>
      </c>
      <c r="N3" s="21" t="s">
        <v>142</v>
      </c>
      <c r="O3">
        <v>32450095</v>
      </c>
      <c r="P3" t="s">
        <v>159</v>
      </c>
      <c r="Q3" t="s">
        <v>147</v>
      </c>
      <c r="R3" t="s">
        <v>148</v>
      </c>
      <c r="S3" t="s">
        <v>146</v>
      </c>
      <c r="T3" t="s">
        <v>157</v>
      </c>
      <c r="U3" t="s">
        <v>176</v>
      </c>
      <c r="V3" s="25">
        <v>6042388610</v>
      </c>
      <c r="W3" t="s">
        <v>173</v>
      </c>
      <c r="X3">
        <v>79</v>
      </c>
      <c r="Y3" s="22">
        <v>17264</v>
      </c>
      <c r="Z3" t="s">
        <v>180</v>
      </c>
      <c r="AA3">
        <v>5001</v>
      </c>
      <c r="AB3" t="s">
        <v>181</v>
      </c>
      <c r="AC3" t="s">
        <v>182</v>
      </c>
      <c r="AH3" s="26">
        <v>46270</v>
      </c>
      <c r="AI3">
        <v>90</v>
      </c>
      <c r="AJ3">
        <v>135</v>
      </c>
      <c r="AK3">
        <v>0</v>
      </c>
      <c r="AL3">
        <v>135</v>
      </c>
      <c r="AM3">
        <v>45</v>
      </c>
      <c r="AU3" t="s">
        <v>181</v>
      </c>
      <c r="AW3" t="s">
        <v>218</v>
      </c>
      <c r="BB3" t="s">
        <v>163</v>
      </c>
      <c r="BD3">
        <v>0</v>
      </c>
      <c r="BE3" s="28"/>
      <c r="BF3" s="28">
        <f>BE3*BD3</f>
        <v>0</v>
      </c>
      <c r="BG3" t="s">
        <v>266</v>
      </c>
      <c r="BM3" t="s">
        <v>183</v>
      </c>
      <c r="BN3" t="s">
        <v>184</v>
      </c>
      <c r="BO3" t="s">
        <v>185</v>
      </c>
      <c r="BP3" t="s">
        <v>186</v>
      </c>
      <c r="BQ3">
        <v>900604350</v>
      </c>
      <c r="BR3" t="s">
        <v>89</v>
      </c>
      <c r="BS3">
        <v>1017280044</v>
      </c>
      <c r="BT3" t="s">
        <v>219</v>
      </c>
      <c r="BU3" t="s">
        <v>220</v>
      </c>
      <c r="BV3" t="s">
        <v>236</v>
      </c>
      <c r="BW3" t="s">
        <v>257</v>
      </c>
      <c r="BX3" t="s">
        <v>258</v>
      </c>
      <c r="CB3" t="s">
        <v>255</v>
      </c>
      <c r="CC3" s="26">
        <v>46270</v>
      </c>
      <c r="CG3" t="s">
        <v>256</v>
      </c>
      <c r="CH3" t="s">
        <v>262</v>
      </c>
      <c r="CI3" t="s">
        <v>265</v>
      </c>
    </row>
    <row r="4" spans="1:87" x14ac:dyDescent="0.3">
      <c r="A4" s="21">
        <v>2026</v>
      </c>
      <c r="B4" s="21">
        <v>9</v>
      </c>
      <c r="C4" t="s">
        <v>141</v>
      </c>
      <c r="D4">
        <v>900604350</v>
      </c>
      <c r="E4" t="s">
        <v>140</v>
      </c>
      <c r="H4">
        <v>900604350</v>
      </c>
      <c r="I4" t="s">
        <v>89</v>
      </c>
      <c r="N4" s="21" t="s">
        <v>142</v>
      </c>
      <c r="O4">
        <v>32450095</v>
      </c>
      <c r="P4" t="s">
        <v>159</v>
      </c>
      <c r="Q4" t="s">
        <v>147</v>
      </c>
      <c r="R4" t="s">
        <v>148</v>
      </c>
      <c r="S4" t="s">
        <v>146</v>
      </c>
      <c r="T4" t="s">
        <v>157</v>
      </c>
      <c r="U4" t="s">
        <v>176</v>
      </c>
      <c r="V4" s="25">
        <v>6042388610</v>
      </c>
      <c r="W4" t="s">
        <v>173</v>
      </c>
      <c r="X4">
        <v>79</v>
      </c>
      <c r="Y4" s="22">
        <v>17264</v>
      </c>
      <c r="Z4" t="s">
        <v>180</v>
      </c>
      <c r="AA4">
        <v>5001</v>
      </c>
      <c r="AB4" t="s">
        <v>181</v>
      </c>
      <c r="AC4" t="s">
        <v>182</v>
      </c>
      <c r="AH4" s="26">
        <v>46270</v>
      </c>
      <c r="AI4">
        <v>90</v>
      </c>
      <c r="AJ4">
        <v>180</v>
      </c>
      <c r="AK4">
        <v>0</v>
      </c>
      <c r="AL4">
        <v>180</v>
      </c>
      <c r="AM4">
        <v>60</v>
      </c>
      <c r="AU4" t="s">
        <v>181</v>
      </c>
      <c r="AW4" t="s">
        <v>218</v>
      </c>
      <c r="BB4" t="s">
        <v>164</v>
      </c>
      <c r="BD4">
        <v>0</v>
      </c>
      <c r="BE4" s="28"/>
      <c r="BF4" s="28">
        <f t="shared" ref="BF4:BF10" si="0">BE4*BD4</f>
        <v>0</v>
      </c>
      <c r="BG4" t="s">
        <v>266</v>
      </c>
      <c r="BM4" t="s">
        <v>187</v>
      </c>
      <c r="BN4" t="s">
        <v>188</v>
      </c>
      <c r="BO4" t="s">
        <v>189</v>
      </c>
      <c r="BP4" t="s">
        <v>190</v>
      </c>
      <c r="BQ4">
        <v>900604350</v>
      </c>
      <c r="BR4" t="s">
        <v>89</v>
      </c>
      <c r="BS4">
        <v>75144277</v>
      </c>
      <c r="BT4" t="s">
        <v>221</v>
      </c>
      <c r="BU4" t="s">
        <v>220</v>
      </c>
      <c r="BV4" t="s">
        <v>236</v>
      </c>
      <c r="BW4" t="s">
        <v>257</v>
      </c>
      <c r="BX4" t="s">
        <v>258</v>
      </c>
      <c r="CB4" t="s">
        <v>255</v>
      </c>
      <c r="CC4" s="26">
        <v>46270</v>
      </c>
      <c r="CG4" t="s">
        <v>256</v>
      </c>
      <c r="CH4" t="s">
        <v>262</v>
      </c>
      <c r="CI4" t="s">
        <v>265</v>
      </c>
    </row>
    <row r="5" spans="1:87" x14ac:dyDescent="0.3">
      <c r="A5" s="21">
        <v>2026</v>
      </c>
      <c r="B5" s="21">
        <v>9</v>
      </c>
      <c r="C5" t="s">
        <v>141</v>
      </c>
      <c r="D5">
        <v>900604350</v>
      </c>
      <c r="E5" t="s">
        <v>140</v>
      </c>
      <c r="H5">
        <v>900604350</v>
      </c>
      <c r="I5" t="s">
        <v>89</v>
      </c>
      <c r="N5" s="21" t="s">
        <v>142</v>
      </c>
      <c r="O5">
        <v>32450095</v>
      </c>
      <c r="P5" t="s">
        <v>159</v>
      </c>
      <c r="Q5" t="s">
        <v>147</v>
      </c>
      <c r="R5" t="s">
        <v>148</v>
      </c>
      <c r="S5" t="s">
        <v>146</v>
      </c>
      <c r="T5" t="s">
        <v>157</v>
      </c>
      <c r="U5" t="s">
        <v>176</v>
      </c>
      <c r="V5" s="25">
        <v>6042388610</v>
      </c>
      <c r="W5" t="s">
        <v>173</v>
      </c>
      <c r="X5">
        <v>79</v>
      </c>
      <c r="Y5" s="22">
        <v>17264</v>
      </c>
      <c r="Z5" t="s">
        <v>180</v>
      </c>
      <c r="AA5">
        <v>5001</v>
      </c>
      <c r="AB5" t="s">
        <v>181</v>
      </c>
      <c r="AC5" t="s">
        <v>182</v>
      </c>
      <c r="AH5" s="26">
        <v>46270</v>
      </c>
      <c r="AI5">
        <v>90</v>
      </c>
      <c r="AJ5">
        <v>90</v>
      </c>
      <c r="AK5">
        <v>0</v>
      </c>
      <c r="AL5">
        <v>90</v>
      </c>
      <c r="AM5">
        <v>30</v>
      </c>
      <c r="AU5" t="s">
        <v>181</v>
      </c>
      <c r="AW5" t="s">
        <v>218</v>
      </c>
      <c r="BB5" t="s">
        <v>165</v>
      </c>
      <c r="BD5">
        <v>0</v>
      </c>
      <c r="BE5" s="28"/>
      <c r="BF5" s="28">
        <f t="shared" si="0"/>
        <v>0</v>
      </c>
      <c r="BG5" t="s">
        <v>267</v>
      </c>
      <c r="BM5" t="s">
        <v>191</v>
      </c>
      <c r="BN5" t="s">
        <v>192</v>
      </c>
      <c r="BO5" t="s">
        <v>193</v>
      </c>
      <c r="BP5" t="s">
        <v>194</v>
      </c>
      <c r="BQ5">
        <v>900604350</v>
      </c>
      <c r="BR5" t="s">
        <v>89</v>
      </c>
      <c r="BS5">
        <v>1067917484</v>
      </c>
      <c r="BT5" t="s">
        <v>222</v>
      </c>
      <c r="BU5" t="s">
        <v>223</v>
      </c>
      <c r="BV5" t="s">
        <v>236</v>
      </c>
      <c r="BW5" t="s">
        <v>257</v>
      </c>
      <c r="BX5" t="s">
        <v>258</v>
      </c>
      <c r="CB5" t="s">
        <v>255</v>
      </c>
      <c r="CC5" s="26">
        <v>46270</v>
      </c>
      <c r="CG5" t="s">
        <v>256</v>
      </c>
      <c r="CH5" t="s">
        <v>262</v>
      </c>
      <c r="CI5" t="s">
        <v>265</v>
      </c>
    </row>
    <row r="6" spans="1:87" x14ac:dyDescent="0.3">
      <c r="A6" s="21">
        <v>2026</v>
      </c>
      <c r="B6" s="21">
        <v>9</v>
      </c>
      <c r="C6" t="s">
        <v>141</v>
      </c>
      <c r="D6">
        <v>900604350</v>
      </c>
      <c r="E6" t="s">
        <v>140</v>
      </c>
      <c r="H6">
        <v>900604350</v>
      </c>
      <c r="I6" t="s">
        <v>89</v>
      </c>
      <c r="N6" s="21" t="s">
        <v>142</v>
      </c>
      <c r="O6">
        <v>43085063</v>
      </c>
      <c r="P6" t="s">
        <v>160</v>
      </c>
      <c r="Q6" t="s">
        <v>151</v>
      </c>
      <c r="S6" t="s">
        <v>149</v>
      </c>
      <c r="T6" t="s">
        <v>150</v>
      </c>
      <c r="U6" t="s">
        <v>177</v>
      </c>
      <c r="V6" s="25">
        <v>6046114118</v>
      </c>
      <c r="W6" t="s">
        <v>173</v>
      </c>
      <c r="X6">
        <v>67</v>
      </c>
      <c r="Y6" s="22">
        <v>21657</v>
      </c>
      <c r="Z6" t="s">
        <v>180</v>
      </c>
      <c r="AA6">
        <v>5001</v>
      </c>
      <c r="AB6" t="s">
        <v>181</v>
      </c>
      <c r="AC6" t="s">
        <v>182</v>
      </c>
      <c r="AH6" s="26">
        <v>46270</v>
      </c>
      <c r="AI6">
        <v>90</v>
      </c>
      <c r="AJ6">
        <v>3</v>
      </c>
      <c r="AK6">
        <v>0</v>
      </c>
      <c r="AL6">
        <v>3</v>
      </c>
      <c r="AM6">
        <v>1</v>
      </c>
      <c r="AU6" t="s">
        <v>181</v>
      </c>
      <c r="AW6" t="s">
        <v>218</v>
      </c>
      <c r="BB6" t="s">
        <v>166</v>
      </c>
      <c r="BD6">
        <v>0</v>
      </c>
      <c r="BE6" s="28"/>
      <c r="BF6" s="28">
        <f t="shared" si="0"/>
        <v>0</v>
      </c>
      <c r="BG6" t="s">
        <v>268</v>
      </c>
      <c r="BM6" t="s">
        <v>195</v>
      </c>
      <c r="BN6" t="s">
        <v>196</v>
      </c>
      <c r="BO6" t="s">
        <v>197</v>
      </c>
      <c r="BP6" t="s">
        <v>198</v>
      </c>
      <c r="BQ6">
        <v>900604350</v>
      </c>
      <c r="BR6" t="s">
        <v>89</v>
      </c>
      <c r="BS6">
        <v>1067917484</v>
      </c>
      <c r="BT6" t="s">
        <v>222</v>
      </c>
      <c r="BU6" t="s">
        <v>223</v>
      </c>
      <c r="BV6" t="s">
        <v>236</v>
      </c>
      <c r="BW6" t="s">
        <v>257</v>
      </c>
      <c r="BX6" t="s">
        <v>258</v>
      </c>
      <c r="CB6" t="s">
        <v>255</v>
      </c>
      <c r="CC6" s="26">
        <v>46270</v>
      </c>
      <c r="CG6" t="s">
        <v>256</v>
      </c>
      <c r="CH6" t="s">
        <v>262</v>
      </c>
      <c r="CI6" t="s">
        <v>265</v>
      </c>
    </row>
    <row r="7" spans="1:87" x14ac:dyDescent="0.3">
      <c r="A7" s="21">
        <v>2026</v>
      </c>
      <c r="B7" s="21">
        <v>9</v>
      </c>
      <c r="C7" t="s">
        <v>141</v>
      </c>
      <c r="D7">
        <v>900604350</v>
      </c>
      <c r="E7" t="s">
        <v>140</v>
      </c>
      <c r="H7">
        <v>900604350</v>
      </c>
      <c r="I7" t="s">
        <v>89</v>
      </c>
      <c r="N7" s="21" t="s">
        <v>142</v>
      </c>
      <c r="O7">
        <v>43085063</v>
      </c>
      <c r="P7" t="s">
        <v>160</v>
      </c>
      <c r="Q7" t="s">
        <v>151</v>
      </c>
      <c r="S7" t="s">
        <v>149</v>
      </c>
      <c r="T7" t="s">
        <v>150</v>
      </c>
      <c r="U7" t="s">
        <v>177</v>
      </c>
      <c r="V7" s="25">
        <v>6046114118</v>
      </c>
      <c r="W7" t="s">
        <v>173</v>
      </c>
      <c r="X7">
        <v>67</v>
      </c>
      <c r="Y7" s="22">
        <v>21657</v>
      </c>
      <c r="Z7" t="s">
        <v>180</v>
      </c>
      <c r="AA7">
        <v>5001</v>
      </c>
      <c r="AB7" t="s">
        <v>181</v>
      </c>
      <c r="AC7" t="s">
        <v>182</v>
      </c>
      <c r="AH7" s="26">
        <v>46270</v>
      </c>
      <c r="AI7">
        <v>90</v>
      </c>
      <c r="AJ7">
        <v>90</v>
      </c>
      <c r="AK7">
        <v>0</v>
      </c>
      <c r="AL7">
        <v>90</v>
      </c>
      <c r="AM7">
        <v>30</v>
      </c>
      <c r="AU7" t="s">
        <v>181</v>
      </c>
      <c r="AW7" t="s">
        <v>218</v>
      </c>
      <c r="BB7" t="s">
        <v>167</v>
      </c>
      <c r="BD7">
        <v>0</v>
      </c>
      <c r="BE7" s="28"/>
      <c r="BF7" s="28">
        <f t="shared" si="0"/>
        <v>0</v>
      </c>
      <c r="BG7" t="s">
        <v>269</v>
      </c>
      <c r="BM7" t="s">
        <v>199</v>
      </c>
      <c r="BN7" t="s">
        <v>200</v>
      </c>
      <c r="BO7" t="s">
        <v>201</v>
      </c>
      <c r="BP7" t="s">
        <v>202</v>
      </c>
      <c r="BQ7">
        <v>900604350</v>
      </c>
      <c r="BR7" t="s">
        <v>89</v>
      </c>
      <c r="BS7">
        <v>1067917484</v>
      </c>
      <c r="BT7" t="s">
        <v>222</v>
      </c>
      <c r="BU7" t="s">
        <v>223</v>
      </c>
      <c r="BV7" t="s">
        <v>236</v>
      </c>
      <c r="BW7" t="s">
        <v>257</v>
      </c>
      <c r="BX7" t="s">
        <v>258</v>
      </c>
      <c r="CB7" t="s">
        <v>255</v>
      </c>
      <c r="CC7" s="26">
        <v>46270</v>
      </c>
      <c r="CG7" t="s">
        <v>256</v>
      </c>
      <c r="CH7" t="s">
        <v>262</v>
      </c>
      <c r="CI7" t="s">
        <v>265</v>
      </c>
    </row>
    <row r="8" spans="1:87" x14ac:dyDescent="0.3">
      <c r="A8" s="21">
        <v>2026</v>
      </c>
      <c r="B8" s="21">
        <v>9</v>
      </c>
      <c r="C8" t="s">
        <v>141</v>
      </c>
      <c r="D8">
        <v>900604350</v>
      </c>
      <c r="E8" t="s">
        <v>140</v>
      </c>
      <c r="H8">
        <v>900604350</v>
      </c>
      <c r="I8" t="s">
        <v>89</v>
      </c>
      <c r="N8" s="21" t="s">
        <v>142</v>
      </c>
      <c r="O8">
        <v>43085063</v>
      </c>
      <c r="P8" t="s">
        <v>160</v>
      </c>
      <c r="Q8" t="s">
        <v>151</v>
      </c>
      <c r="S8" t="s">
        <v>149</v>
      </c>
      <c r="T8" t="s">
        <v>150</v>
      </c>
      <c r="U8" t="s">
        <v>177</v>
      </c>
      <c r="V8" s="25">
        <v>6046114118</v>
      </c>
      <c r="W8" t="s">
        <v>173</v>
      </c>
      <c r="X8">
        <v>67</v>
      </c>
      <c r="Y8" s="22">
        <v>21657</v>
      </c>
      <c r="Z8" t="s">
        <v>180</v>
      </c>
      <c r="AA8">
        <v>5001</v>
      </c>
      <c r="AB8" t="s">
        <v>181</v>
      </c>
      <c r="AC8" t="s">
        <v>182</v>
      </c>
      <c r="AH8" s="26">
        <v>46270</v>
      </c>
      <c r="AI8">
        <v>90</v>
      </c>
      <c r="AJ8">
        <v>90</v>
      </c>
      <c r="AK8">
        <v>0</v>
      </c>
      <c r="AL8">
        <v>90</v>
      </c>
      <c r="AM8">
        <v>30</v>
      </c>
      <c r="AU8" t="s">
        <v>181</v>
      </c>
      <c r="AW8" t="s">
        <v>218</v>
      </c>
      <c r="BB8" t="s">
        <v>168</v>
      </c>
      <c r="BD8">
        <v>0</v>
      </c>
      <c r="BE8" s="28"/>
      <c r="BF8" s="28">
        <f t="shared" si="0"/>
        <v>0</v>
      </c>
      <c r="BG8" t="s">
        <v>269</v>
      </c>
      <c r="BM8" t="s">
        <v>203</v>
      </c>
      <c r="BN8" t="s">
        <v>204</v>
      </c>
      <c r="BO8" t="s">
        <v>205</v>
      </c>
      <c r="BP8" t="s">
        <v>206</v>
      </c>
      <c r="BQ8">
        <v>900604350</v>
      </c>
      <c r="BR8" t="s">
        <v>89</v>
      </c>
      <c r="BS8">
        <v>1065565736</v>
      </c>
      <c r="BT8" t="s">
        <v>224</v>
      </c>
      <c r="BU8" t="s">
        <v>225</v>
      </c>
      <c r="BV8" t="s">
        <v>236</v>
      </c>
      <c r="BW8" t="s">
        <v>257</v>
      </c>
      <c r="BX8" t="s">
        <v>258</v>
      </c>
      <c r="CB8" t="s">
        <v>255</v>
      </c>
      <c r="CC8" s="26">
        <v>46270</v>
      </c>
      <c r="CG8" t="s">
        <v>256</v>
      </c>
      <c r="CH8" t="s">
        <v>262</v>
      </c>
      <c r="CI8" t="s">
        <v>265</v>
      </c>
    </row>
    <row r="9" spans="1:87" x14ac:dyDescent="0.3">
      <c r="A9" s="21">
        <v>2026</v>
      </c>
      <c r="B9" s="21">
        <v>9</v>
      </c>
      <c r="C9" t="s">
        <v>141</v>
      </c>
      <c r="D9">
        <v>900604350</v>
      </c>
      <c r="E9" t="s">
        <v>140</v>
      </c>
      <c r="H9">
        <v>900604350</v>
      </c>
      <c r="I9" t="s">
        <v>89</v>
      </c>
      <c r="N9" s="21" t="s">
        <v>142</v>
      </c>
      <c r="O9">
        <v>33950027</v>
      </c>
      <c r="P9" t="s">
        <v>161</v>
      </c>
      <c r="Q9" t="s">
        <v>153</v>
      </c>
      <c r="S9" t="s">
        <v>152</v>
      </c>
      <c r="T9" t="s">
        <v>158</v>
      </c>
      <c r="U9" t="s">
        <v>178</v>
      </c>
      <c r="V9" s="25" t="s">
        <v>179</v>
      </c>
      <c r="W9" t="s">
        <v>173</v>
      </c>
      <c r="X9">
        <v>89</v>
      </c>
      <c r="Y9" s="22">
        <v>13554</v>
      </c>
      <c r="Z9" t="s">
        <v>180</v>
      </c>
      <c r="AA9">
        <v>5001</v>
      </c>
      <c r="AB9" t="s">
        <v>181</v>
      </c>
      <c r="AC9" t="s">
        <v>182</v>
      </c>
      <c r="AH9" s="26">
        <v>46270</v>
      </c>
      <c r="AI9">
        <v>90</v>
      </c>
      <c r="AJ9">
        <v>9</v>
      </c>
      <c r="AK9">
        <v>0</v>
      </c>
      <c r="AL9">
        <v>9</v>
      </c>
      <c r="AM9">
        <v>3</v>
      </c>
      <c r="AU9" t="s">
        <v>181</v>
      </c>
      <c r="AW9" t="s">
        <v>218</v>
      </c>
      <c r="BB9" t="s">
        <v>169</v>
      </c>
      <c r="BD9">
        <v>0</v>
      </c>
      <c r="BE9" s="28"/>
      <c r="BF9" s="28">
        <f t="shared" si="0"/>
        <v>0</v>
      </c>
      <c r="BG9" t="s">
        <v>269</v>
      </c>
      <c r="BM9" t="s">
        <v>207</v>
      </c>
      <c r="BN9" t="s">
        <v>208</v>
      </c>
      <c r="BO9" t="s">
        <v>209</v>
      </c>
      <c r="BP9" t="s">
        <v>210</v>
      </c>
      <c r="BQ9">
        <v>900604350</v>
      </c>
      <c r="BR9" t="s">
        <v>89</v>
      </c>
      <c r="BS9">
        <v>1065565736</v>
      </c>
      <c r="BT9" t="s">
        <v>224</v>
      </c>
      <c r="BU9" t="s">
        <v>225</v>
      </c>
      <c r="BV9" t="s">
        <v>236</v>
      </c>
      <c r="BW9" t="s">
        <v>257</v>
      </c>
      <c r="BX9" t="s">
        <v>258</v>
      </c>
      <c r="CB9" t="s">
        <v>255</v>
      </c>
      <c r="CC9" s="26">
        <v>46270</v>
      </c>
      <c r="CG9" t="s">
        <v>256</v>
      </c>
      <c r="CH9" t="s">
        <v>262</v>
      </c>
      <c r="CI9" t="s">
        <v>265</v>
      </c>
    </row>
    <row r="10" spans="1:87" x14ac:dyDescent="0.3">
      <c r="A10" s="21">
        <v>2026</v>
      </c>
      <c r="B10" s="21">
        <v>9</v>
      </c>
      <c r="C10" t="s">
        <v>141</v>
      </c>
      <c r="D10">
        <v>900604350</v>
      </c>
      <c r="E10" t="s">
        <v>140</v>
      </c>
      <c r="H10">
        <v>900604350</v>
      </c>
      <c r="I10" t="s">
        <v>89</v>
      </c>
      <c r="N10" s="21" t="s">
        <v>142</v>
      </c>
      <c r="O10">
        <v>1048015589</v>
      </c>
      <c r="P10" t="s">
        <v>162</v>
      </c>
      <c r="Q10" t="s">
        <v>155</v>
      </c>
      <c r="R10" t="s">
        <v>156</v>
      </c>
      <c r="S10" t="s">
        <v>154</v>
      </c>
      <c r="T10" t="s">
        <v>154</v>
      </c>
      <c r="U10" t="s">
        <v>174</v>
      </c>
      <c r="V10" s="25" t="s">
        <v>175</v>
      </c>
      <c r="W10" t="s">
        <v>172</v>
      </c>
      <c r="X10">
        <v>45</v>
      </c>
      <c r="Y10" s="22">
        <v>29659</v>
      </c>
      <c r="Z10" t="s">
        <v>180</v>
      </c>
      <c r="AA10">
        <v>5001</v>
      </c>
      <c r="AB10" t="s">
        <v>181</v>
      </c>
      <c r="AC10" t="s">
        <v>182</v>
      </c>
      <c r="AH10" s="26">
        <v>46270</v>
      </c>
      <c r="AI10">
        <v>90</v>
      </c>
      <c r="AJ10">
        <v>90</v>
      </c>
      <c r="AK10">
        <v>0</v>
      </c>
      <c r="AL10">
        <v>90</v>
      </c>
      <c r="AM10">
        <v>30</v>
      </c>
      <c r="AU10" t="s">
        <v>181</v>
      </c>
      <c r="AW10" t="s">
        <v>218</v>
      </c>
      <c r="BB10" t="s">
        <v>170</v>
      </c>
      <c r="BD10">
        <v>0</v>
      </c>
      <c r="BE10" s="28"/>
      <c r="BF10" s="28">
        <f t="shared" si="0"/>
        <v>0</v>
      </c>
      <c r="BG10" t="s">
        <v>270</v>
      </c>
      <c r="BM10" t="s">
        <v>211</v>
      </c>
      <c r="BN10" t="s">
        <v>212</v>
      </c>
      <c r="BO10" t="s">
        <v>213</v>
      </c>
      <c r="BP10" t="s">
        <v>214</v>
      </c>
      <c r="BQ10">
        <v>900604350</v>
      </c>
      <c r="BR10" t="s">
        <v>89</v>
      </c>
      <c r="BS10">
        <v>1014217497</v>
      </c>
      <c r="BT10" t="s">
        <v>226</v>
      </c>
      <c r="BU10" t="s">
        <v>227</v>
      </c>
      <c r="BV10" t="s">
        <v>242</v>
      </c>
      <c r="BW10" t="s">
        <v>259</v>
      </c>
      <c r="BX10" t="s">
        <v>260</v>
      </c>
      <c r="CB10" t="s">
        <v>255</v>
      </c>
      <c r="CC10" s="26">
        <v>46270</v>
      </c>
      <c r="CG10" t="s">
        <v>256</v>
      </c>
      <c r="CH10" t="s">
        <v>261</v>
      </c>
      <c r="CI10" t="s">
        <v>265</v>
      </c>
    </row>
    <row r="11" spans="1:87" x14ac:dyDescent="0.3">
      <c r="AB11">
        <v>0</v>
      </c>
      <c r="AC11" t="s">
        <v>182</v>
      </c>
      <c r="AH11" s="22"/>
      <c r="AU11" t="s">
        <v>181</v>
      </c>
      <c r="AW11" t="s">
        <v>218</v>
      </c>
      <c r="BB11" t="s">
        <v>171</v>
      </c>
      <c r="BD11">
        <v>0</v>
      </c>
      <c r="BE11" s="28"/>
      <c r="BF11" s="28">
        <f t="shared" ref="BF11" si="1">BE11*BD11</f>
        <v>0</v>
      </c>
      <c r="BG11" t="s">
        <v>271</v>
      </c>
      <c r="BM11" t="s">
        <v>215</v>
      </c>
      <c r="BN11" t="s">
        <v>216</v>
      </c>
      <c r="BO11" t="s">
        <v>189</v>
      </c>
      <c r="BP11" t="s">
        <v>217</v>
      </c>
      <c r="BQ11">
        <v>900604350</v>
      </c>
      <c r="BR11" t="s">
        <v>89</v>
      </c>
      <c r="BS11">
        <v>1020777621</v>
      </c>
      <c r="BT11" t="s">
        <v>229</v>
      </c>
      <c r="BU11" t="s">
        <v>228</v>
      </c>
      <c r="BV11" t="s">
        <v>236</v>
      </c>
      <c r="BW11" t="s">
        <v>257</v>
      </c>
      <c r="BX11" t="s">
        <v>258</v>
      </c>
      <c r="CB11" t="s">
        <v>255</v>
      </c>
      <c r="CG11" t="s">
        <v>256</v>
      </c>
      <c r="CH11" t="s">
        <v>261</v>
      </c>
      <c r="CI11" t="s">
        <v>265</v>
      </c>
    </row>
  </sheetData>
  <autoFilter ref="A1:CN11" xr:uid="{C78427E1-33BF-44FE-A000-74CF14924CEC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3555-5D99-4308-82FF-851D32893978}">
  <dimension ref="A1:B25"/>
  <sheetViews>
    <sheetView workbookViewId="0">
      <selection activeCell="C2" sqref="C2"/>
    </sheetView>
  </sheetViews>
  <sheetFormatPr baseColWidth="10" defaultRowHeight="14.4" x14ac:dyDescent="0.3"/>
  <cols>
    <col min="2" max="2" width="28.88671875" customWidth="1"/>
  </cols>
  <sheetData>
    <row r="1" spans="1:2" ht="16.8" x14ac:dyDescent="0.3">
      <c r="A1" s="27" t="s">
        <v>230</v>
      </c>
      <c r="B1" s="27" t="s">
        <v>243</v>
      </c>
    </row>
    <row r="2" spans="1:2" ht="33.6" x14ac:dyDescent="0.3">
      <c r="A2" s="27" t="s">
        <v>231</v>
      </c>
      <c r="B2" s="27" t="s">
        <v>244</v>
      </c>
    </row>
    <row r="3" spans="1:2" ht="33.6" x14ac:dyDescent="0.3">
      <c r="A3" s="27" t="s">
        <v>232</v>
      </c>
      <c r="B3" s="27" t="s">
        <v>245</v>
      </c>
    </row>
    <row r="4" spans="1:2" ht="16.8" x14ac:dyDescent="0.3">
      <c r="A4" s="27" t="s">
        <v>233</v>
      </c>
      <c r="B4" s="27" t="s">
        <v>246</v>
      </c>
    </row>
    <row r="5" spans="1:2" ht="16.8" x14ac:dyDescent="0.3">
      <c r="A5" s="27" t="s">
        <v>234</v>
      </c>
      <c r="B5" s="27" t="s">
        <v>247</v>
      </c>
    </row>
    <row r="6" spans="1:2" ht="16.8" x14ac:dyDescent="0.3">
      <c r="A6" s="27" t="s">
        <v>235</v>
      </c>
      <c r="B6" s="27" t="s">
        <v>248</v>
      </c>
    </row>
    <row r="7" spans="1:2" ht="16.8" x14ac:dyDescent="0.3">
      <c r="A7" s="27" t="s">
        <v>235</v>
      </c>
      <c r="B7" s="27" t="s">
        <v>248</v>
      </c>
    </row>
    <row r="8" spans="1:2" ht="33.6" x14ac:dyDescent="0.3">
      <c r="A8" s="27" t="s">
        <v>237</v>
      </c>
      <c r="B8" s="27" t="s">
        <v>249</v>
      </c>
    </row>
    <row r="9" spans="1:2" ht="33.6" x14ac:dyDescent="0.3">
      <c r="A9" s="27" t="s">
        <v>231</v>
      </c>
      <c r="B9" s="27" t="s">
        <v>244</v>
      </c>
    </row>
    <row r="10" spans="1:2" ht="33.6" x14ac:dyDescent="0.3">
      <c r="A10" s="27" t="s">
        <v>238</v>
      </c>
      <c r="B10" s="27" t="s">
        <v>250</v>
      </c>
    </row>
    <row r="11" spans="1:2" ht="33.6" x14ac:dyDescent="0.3">
      <c r="A11" s="27" t="s">
        <v>239</v>
      </c>
      <c r="B11" s="27" t="s">
        <v>251</v>
      </c>
    </row>
    <row r="12" spans="1:2" ht="16.8" x14ac:dyDescent="0.3">
      <c r="A12" s="27" t="s">
        <v>235</v>
      </c>
      <c r="B12" s="27" t="s">
        <v>248</v>
      </c>
    </row>
    <row r="13" spans="1:2" ht="33.6" x14ac:dyDescent="0.3">
      <c r="A13" s="27" t="s">
        <v>231</v>
      </c>
      <c r="B13" s="27" t="s">
        <v>244</v>
      </c>
    </row>
    <row r="14" spans="1:2" ht="33.6" x14ac:dyDescent="0.3">
      <c r="A14" s="27" t="s">
        <v>231</v>
      </c>
      <c r="B14" s="27" t="s">
        <v>244</v>
      </c>
    </row>
    <row r="15" spans="1:2" ht="33.6" x14ac:dyDescent="0.3">
      <c r="A15" s="27" t="s">
        <v>238</v>
      </c>
      <c r="B15" s="27" t="s">
        <v>250</v>
      </c>
    </row>
    <row r="16" spans="1:2" ht="16.8" x14ac:dyDescent="0.3">
      <c r="A16" s="27" t="s">
        <v>235</v>
      </c>
      <c r="B16" s="27" t="s">
        <v>248</v>
      </c>
    </row>
    <row r="17" spans="1:2" ht="33.6" x14ac:dyDescent="0.3">
      <c r="A17" s="27" t="s">
        <v>231</v>
      </c>
      <c r="B17" s="27" t="s">
        <v>244</v>
      </c>
    </row>
    <row r="18" spans="1:2" ht="50.4" x14ac:dyDescent="0.3">
      <c r="A18" s="27" t="s">
        <v>240</v>
      </c>
      <c r="B18" s="27" t="s">
        <v>252</v>
      </c>
    </row>
    <row r="19" spans="1:2" ht="33.6" x14ac:dyDescent="0.3">
      <c r="A19" s="27" t="s">
        <v>241</v>
      </c>
      <c r="B19" s="27" t="s">
        <v>253</v>
      </c>
    </row>
    <row r="20" spans="1:2" ht="16.8" x14ac:dyDescent="0.3">
      <c r="A20" s="27" t="s">
        <v>235</v>
      </c>
      <c r="B20" s="27" t="s">
        <v>248</v>
      </c>
    </row>
    <row r="21" spans="1:2" ht="33.6" x14ac:dyDescent="0.3">
      <c r="A21" s="27" t="s">
        <v>237</v>
      </c>
      <c r="B21" s="27" t="s">
        <v>249</v>
      </c>
    </row>
    <row r="22" spans="1:2" ht="33.6" x14ac:dyDescent="0.3">
      <c r="A22" s="27" t="s">
        <v>231</v>
      </c>
      <c r="B22" s="27" t="s">
        <v>244</v>
      </c>
    </row>
    <row r="23" spans="1:2" ht="33.6" x14ac:dyDescent="0.3">
      <c r="A23" s="27" t="s">
        <v>231</v>
      </c>
      <c r="B23" s="27" t="s">
        <v>254</v>
      </c>
    </row>
    <row r="24" spans="1:2" ht="16.8" x14ac:dyDescent="0.3">
      <c r="A24" s="27" t="s">
        <v>235</v>
      </c>
      <c r="B24" s="27" t="s">
        <v>248</v>
      </c>
    </row>
    <row r="25" spans="1:2" ht="16.8" x14ac:dyDescent="0.3">
      <c r="A25" s="27" t="s">
        <v>230</v>
      </c>
      <c r="B25" s="27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P-0422</dc:creator>
  <cp:lastModifiedBy>P-0422</cp:lastModifiedBy>
  <dcterms:created xsi:type="dcterms:W3CDTF">2026-09-10T14:40:28Z</dcterms:created>
  <dcterms:modified xsi:type="dcterms:W3CDTF">2026-09-22T19:54:29Z</dcterms:modified>
</cp:coreProperties>
</file>